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ttes\Desktop\6axis simu\"/>
    </mc:Choice>
  </mc:AlternateContent>
  <xr:revisionPtr revIDLastSave="0" documentId="8_{08EC0E73-35A4-4F25-AE3E-CF8F54706F0A}" xr6:coauthVersionLast="47" xr6:coauthVersionMax="47" xr10:uidLastSave="{00000000-0000-0000-0000-000000000000}"/>
  <bookViews>
    <workbookView xWindow="28680" yWindow="-120" windowWidth="29040" windowHeight="15720" xr2:uid="{3F998F52-0D91-44B9-9E5F-4269494E9D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6" i="1" s="1"/>
  <c r="G5" i="1" s="1"/>
  <c r="G4" i="1" s="1"/>
  <c r="G3" i="1" s="1"/>
  <c r="G8" i="1"/>
  <c r="D8" i="1"/>
  <c r="B8" i="1" s="1"/>
  <c r="G2" i="1" l="1"/>
  <c r="B4" i="1"/>
  <c r="D7" i="1"/>
  <c r="D6" i="1" l="1"/>
  <c r="B7" i="1"/>
  <c r="D5" i="1" l="1"/>
  <c r="B6" i="1"/>
  <c r="D4" i="1" l="1"/>
  <c r="B5" i="1"/>
  <c r="D3" i="1" l="1"/>
  <c r="D2" i="1" l="1"/>
  <c r="B2" i="1" s="1"/>
  <c r="B3" i="1"/>
</calcChain>
</file>

<file path=xl/sharedStrings.xml><?xml version="1.0" encoding="utf-8"?>
<sst xmlns="http://schemas.openxmlformats.org/spreadsheetml/2006/main" count="29" uniqueCount="27">
  <si>
    <t>1: Base Rotation</t>
  </si>
  <si>
    <t xml:space="preserve">2: Arm 1 </t>
  </si>
  <si>
    <t>3: Arm 2</t>
  </si>
  <si>
    <t>4: "forward elbow" rotation</t>
  </si>
  <si>
    <t>5: Wrist</t>
  </si>
  <si>
    <t>6: Wrist rotation</t>
  </si>
  <si>
    <t>7: Gripper</t>
  </si>
  <si>
    <t>Necessary Torque</t>
  </si>
  <si>
    <t>Estimated weight of 3d parts and payload</t>
  </si>
  <si>
    <t>Total Weight at this joint</t>
  </si>
  <si>
    <t>Weight of motor (g)</t>
  </si>
  <si>
    <t>Individual joint length</t>
  </si>
  <si>
    <t>Total length</t>
  </si>
  <si>
    <t xml:space="preserve">SG92R </t>
  </si>
  <si>
    <t>Cheap, small</t>
  </si>
  <si>
    <t>$26 for 10</t>
  </si>
  <si>
    <t>MG90S 9G</t>
  </si>
  <si>
    <t>$29 for 10</t>
  </si>
  <si>
    <t>On amazon</t>
  </si>
  <si>
    <t>cant find w same torque?</t>
  </si>
  <si>
    <t>MG99x</t>
  </si>
  <si>
    <t>12 kg/cm, 55g</t>
  </si>
  <si>
    <t>2 kg/cm, 15g</t>
  </si>
  <si>
    <t>2.5 kg/cm, 15g</t>
  </si>
  <si>
    <t>~$16 for 4</t>
  </si>
  <si>
    <t xml:space="preserve">I think this is enough because the base is facing up, so gravity is not as much of an issue </t>
  </si>
  <si>
    <t>Torque estimate is [weight of link in grams]*[lenth of link in cm]*G which equals torque in N*cm, then N*cm/9.80665 to get kg*cm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</si>
</sst>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6501-E26C-47D3-A4F7-1FF07E1D4B30}">
  <dimension ref="A1:G19"/>
  <sheetViews>
    <sheetView tabSelected="1" workbookViewId="0">
      <selection activeCell="E12" sqref="E12"/>
    </sheetView>
  </sheetViews>
  <sheetFormatPr defaultRowHeight="15" x14ac:dyDescent="0.25"/>
  <cols>
    <col min="1" max="1" width="25" customWidth="1"/>
    <col min="2" max="2" width="16.85546875" customWidth="1"/>
    <col min="3" max="3" width="21.7109375" customWidth="1"/>
    <col min="4" max="4" width="16.85546875" customWidth="1"/>
    <col min="5" max="5" width="18.28515625" customWidth="1"/>
    <col min="6" max="6" width="38.28515625" customWidth="1"/>
    <col min="7" max="7" width="28.7109375" customWidth="1"/>
  </cols>
  <sheetData>
    <row r="1" spans="1:7" x14ac:dyDescent="0.25">
      <c r="B1" t="s">
        <v>7</v>
      </c>
      <c r="C1" t="s">
        <v>11</v>
      </c>
      <c r="D1" t="s">
        <v>12</v>
      </c>
      <c r="E1" t="s">
        <v>10</v>
      </c>
      <c r="F1" t="s">
        <v>8</v>
      </c>
      <c r="G1" t="s">
        <v>9</v>
      </c>
    </row>
    <row r="2" spans="1:7" x14ac:dyDescent="0.25">
      <c r="A2" t="s">
        <v>0</v>
      </c>
      <c r="B2">
        <f t="shared" ref="B2:B7" si="0">(G2*0.001*9.81*D2)/9.80665</f>
        <v>12.509271769666501</v>
      </c>
      <c r="C2">
        <v>5</v>
      </c>
      <c r="D2">
        <f>C2+D3</f>
        <v>41</v>
      </c>
      <c r="E2">
        <v>55</v>
      </c>
      <c r="F2">
        <v>30</v>
      </c>
      <c r="G2">
        <f t="shared" ref="G2:G7" si="1">G3+E3+F2</f>
        <v>305</v>
      </c>
    </row>
    <row r="3" spans="1:7" x14ac:dyDescent="0.25">
      <c r="A3" t="s">
        <v>1</v>
      </c>
      <c r="B3">
        <f t="shared" si="0"/>
        <v>7.9227055110562752</v>
      </c>
      <c r="C3">
        <v>10</v>
      </c>
      <c r="D3">
        <f t="shared" ref="D2:D7" si="2">C3+D4</f>
        <v>36</v>
      </c>
      <c r="E3">
        <v>55</v>
      </c>
      <c r="F3">
        <v>20</v>
      </c>
      <c r="G3">
        <f>G4+E4+F3</f>
        <v>220</v>
      </c>
    </row>
    <row r="4" spans="1:7" x14ac:dyDescent="0.25">
      <c r="A4" t="s">
        <v>2</v>
      </c>
      <c r="B4">
        <f>(G4*0.001*9.81*D4)/9.80665</f>
        <v>3.7712878505911807</v>
      </c>
      <c r="C4">
        <v>10</v>
      </c>
      <c r="D4">
        <f>C4+D5</f>
        <v>26</v>
      </c>
      <c r="E4">
        <v>55</v>
      </c>
      <c r="F4">
        <v>20</v>
      </c>
      <c r="G4">
        <f t="shared" si="1"/>
        <v>145</v>
      </c>
    </row>
    <row r="5" spans="1:7" x14ac:dyDescent="0.25">
      <c r="A5" t="s">
        <v>3</v>
      </c>
      <c r="B5">
        <f t="shared" si="0"/>
        <v>1.7606012246791722</v>
      </c>
      <c r="C5">
        <v>5</v>
      </c>
      <c r="D5">
        <f t="shared" si="2"/>
        <v>16</v>
      </c>
      <c r="E5">
        <v>15</v>
      </c>
      <c r="F5">
        <v>20</v>
      </c>
      <c r="G5">
        <f t="shared" si="1"/>
        <v>110</v>
      </c>
    </row>
    <row r="6" spans="1:7" x14ac:dyDescent="0.25">
      <c r="A6" t="s">
        <v>4</v>
      </c>
      <c r="B6">
        <f t="shared" si="0"/>
        <v>0.82528182406836181</v>
      </c>
      <c r="C6">
        <v>6</v>
      </c>
      <c r="D6">
        <f t="shared" si="2"/>
        <v>11</v>
      </c>
      <c r="E6">
        <v>15</v>
      </c>
      <c r="F6">
        <v>15</v>
      </c>
      <c r="G6">
        <f t="shared" si="1"/>
        <v>75</v>
      </c>
    </row>
    <row r="7" spans="1:7" x14ac:dyDescent="0.25">
      <c r="A7" t="s">
        <v>5</v>
      </c>
      <c r="B7">
        <f t="shared" si="0"/>
        <v>0.22507686110955324</v>
      </c>
      <c r="C7">
        <v>2.5</v>
      </c>
      <c r="D7">
        <f t="shared" si="2"/>
        <v>5</v>
      </c>
      <c r="E7">
        <v>15</v>
      </c>
      <c r="F7">
        <v>10</v>
      </c>
      <c r="G7">
        <f t="shared" si="1"/>
        <v>45</v>
      </c>
    </row>
    <row r="8" spans="1:7" x14ac:dyDescent="0.25">
      <c r="A8" t="s">
        <v>6</v>
      </c>
      <c r="B8">
        <f>(G8*0.001*9.81*D8)/9.80665</f>
        <v>5.001708024656739E-2</v>
      </c>
      <c r="C8">
        <v>2.5</v>
      </c>
      <c r="D8">
        <f>C8+D9</f>
        <v>2.5</v>
      </c>
      <c r="E8">
        <v>15</v>
      </c>
      <c r="F8">
        <v>20</v>
      </c>
      <c r="G8">
        <f>G9+E9+F8</f>
        <v>20</v>
      </c>
    </row>
    <row r="11" spans="1:7" x14ac:dyDescent="0.25">
      <c r="A11" t="s">
        <v>26</v>
      </c>
    </row>
    <row r="17" spans="1:6" x14ac:dyDescent="0.25">
      <c r="A17" t="s">
        <v>13</v>
      </c>
      <c r="B17" t="s">
        <v>14</v>
      </c>
      <c r="C17" t="s">
        <v>23</v>
      </c>
      <c r="D17" t="s">
        <v>15</v>
      </c>
      <c r="E17" t="s">
        <v>19</v>
      </c>
    </row>
    <row r="18" spans="1:6" x14ac:dyDescent="0.25">
      <c r="A18" t="s">
        <v>16</v>
      </c>
      <c r="B18" t="s">
        <v>14</v>
      </c>
      <c r="C18" t="s">
        <v>22</v>
      </c>
      <c r="D18" t="s">
        <v>17</v>
      </c>
      <c r="E18" t="s">
        <v>18</v>
      </c>
    </row>
    <row r="19" spans="1:6" x14ac:dyDescent="0.25">
      <c r="A19" t="s">
        <v>20</v>
      </c>
      <c r="C19" t="s">
        <v>21</v>
      </c>
      <c r="D19" t="s">
        <v>24</v>
      </c>
      <c r="E19" t="s">
        <v>18</v>
      </c>
      <c r="F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MULTIVAC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Lottes</dc:creator>
  <cp:lastModifiedBy>Ben Lottes</cp:lastModifiedBy>
  <dcterms:created xsi:type="dcterms:W3CDTF">2026-01-08T15:38:43Z</dcterms:created>
  <dcterms:modified xsi:type="dcterms:W3CDTF">2026-01-08T22:54:23Z</dcterms:modified>
</cp:coreProperties>
</file>